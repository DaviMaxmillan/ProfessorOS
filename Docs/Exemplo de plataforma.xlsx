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OOGLE DRIVE\Meu Drive\2 UNIFRAN\Aulas UNIFRAN\2026-2\2° Feira - 4° CC - REDES\"/>
    </mc:Choice>
  </mc:AlternateContent>
  <xr:revisionPtr revIDLastSave="0" documentId="13_ncr:1_{2F849717-31E0-4289-B7B9-EEE6A75BC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enças e Notas" sheetId="1" r:id="rId1"/>
    <sheet name="Cronogra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FRzluDx+AM9kjMfvIZhAxBBNMBf8NLbho9uYgayLtc="/>
    </ext>
  </extLst>
</workbook>
</file>

<file path=xl/calcChain.xml><?xml version="1.0" encoding="utf-8"?>
<calcChain xmlns="http://schemas.openxmlformats.org/spreadsheetml/2006/main">
  <c r="J5" i="1" l="1"/>
  <c r="M5" i="1"/>
  <c r="R5" i="1"/>
  <c r="T5" i="1"/>
  <c r="U5" i="1" s="1"/>
  <c r="J6" i="1"/>
  <c r="M6" i="1"/>
  <c r="R6" i="1"/>
  <c r="T6" i="1" s="1"/>
  <c r="U6" i="1" s="1"/>
  <c r="J7" i="1"/>
  <c r="M7" i="1"/>
  <c r="R7" i="1"/>
  <c r="J8" i="1"/>
  <c r="M8" i="1"/>
  <c r="R8" i="1"/>
  <c r="J9" i="1"/>
  <c r="M9" i="1"/>
  <c r="R9" i="1"/>
  <c r="T9" i="1"/>
  <c r="U9" i="1" s="1"/>
  <c r="J10" i="1"/>
  <c r="M10" i="1"/>
  <c r="R10" i="1"/>
  <c r="T10" i="1"/>
  <c r="U10" i="1" s="1"/>
  <c r="J11" i="1"/>
  <c r="T11" i="1" s="1"/>
  <c r="U11" i="1" s="1"/>
  <c r="M11" i="1"/>
  <c r="R11" i="1"/>
  <c r="J12" i="1"/>
  <c r="M12" i="1"/>
  <c r="R12" i="1"/>
  <c r="J13" i="1"/>
  <c r="M13" i="1"/>
  <c r="R13" i="1"/>
  <c r="T13" i="1"/>
  <c r="U13" i="1" s="1"/>
  <c r="J14" i="1"/>
  <c r="M14" i="1"/>
  <c r="R14" i="1"/>
  <c r="J15" i="1"/>
  <c r="T15" i="1" s="1"/>
  <c r="U15" i="1" s="1"/>
  <c r="M15" i="1"/>
  <c r="R15" i="1"/>
  <c r="J16" i="1"/>
  <c r="M16" i="1"/>
  <c r="R16" i="1"/>
  <c r="J17" i="1"/>
  <c r="M17" i="1"/>
  <c r="R17" i="1"/>
  <c r="T17" i="1"/>
  <c r="U17" i="1" s="1"/>
  <c r="J18" i="1"/>
  <c r="T18" i="1" s="1"/>
  <c r="U18" i="1" s="1"/>
  <c r="M18" i="1"/>
  <c r="R18" i="1"/>
  <c r="J19" i="1"/>
  <c r="J20" i="1"/>
  <c r="J21" i="1"/>
  <c r="J22" i="1"/>
  <c r="J23" i="1"/>
  <c r="J24" i="1"/>
  <c r="T24" i="1" s="1"/>
  <c r="U24" i="1" s="1"/>
  <c r="J25" i="1"/>
  <c r="J26" i="1"/>
  <c r="J4" i="1"/>
  <c r="M19" i="1"/>
  <c r="M20" i="1"/>
  <c r="M21" i="1"/>
  <c r="M22" i="1"/>
  <c r="M23" i="1"/>
  <c r="M24" i="1"/>
  <c r="M25" i="1"/>
  <c r="M26" i="1"/>
  <c r="M4" i="1"/>
  <c r="R26" i="1"/>
  <c r="T26" i="1"/>
  <c r="U26" i="1" s="1"/>
  <c r="R25" i="1"/>
  <c r="R24" i="1"/>
  <c r="R23" i="1"/>
  <c r="R22" i="1"/>
  <c r="R21" i="1"/>
  <c r="R20" i="1"/>
  <c r="R19" i="1"/>
  <c r="R4" i="1"/>
  <c r="T8" i="1" l="1"/>
  <c r="U8" i="1" s="1"/>
  <c r="T7" i="1"/>
  <c r="U7" i="1" s="1"/>
  <c r="T16" i="1"/>
  <c r="U16" i="1" s="1"/>
  <c r="T14" i="1"/>
  <c r="U14" i="1" s="1"/>
  <c r="T12" i="1"/>
  <c r="U12" i="1" s="1"/>
  <c r="T25" i="1"/>
  <c r="U25" i="1" s="1"/>
  <c r="T21" i="1"/>
  <c r="U21" i="1" s="1"/>
  <c r="T4" i="1"/>
  <c r="U4" i="1" s="1"/>
  <c r="T20" i="1"/>
  <c r="U20" i="1" s="1"/>
  <c r="T22" i="1"/>
  <c r="U22" i="1" s="1"/>
  <c r="T19" i="1"/>
  <c r="U19" i="1" s="1"/>
  <c r="T23" i="1"/>
  <c r="U23" i="1" s="1"/>
</calcChain>
</file>

<file path=xl/sharedStrings.xml><?xml version="1.0" encoding="utf-8"?>
<sst xmlns="http://schemas.openxmlformats.org/spreadsheetml/2006/main" count="34" uniqueCount="34">
  <si>
    <t>Lista de Frequência PROVISÓRIA</t>
  </si>
  <si>
    <t>APROximação - Pela ATV - Boas Vindas</t>
  </si>
  <si>
    <t>Média FINAL</t>
  </si>
  <si>
    <t>SITUAÇÃO FINAL</t>
  </si>
  <si>
    <t>Nota da Prova no Sistema</t>
  </si>
  <si>
    <t>NOTA 1º BI</t>
  </si>
  <si>
    <t>NOTA 2º BI</t>
  </si>
  <si>
    <t>Prova AF</t>
  </si>
  <si>
    <t>NOTA AF</t>
  </si>
  <si>
    <t>Nome Aluno</t>
  </si>
  <si>
    <t>RGM</t>
  </si>
  <si>
    <t>Notas</t>
  </si>
  <si>
    <t>A1</t>
  </si>
  <si>
    <t>AF</t>
  </si>
  <si>
    <r>
      <rPr>
        <sz val="20"/>
        <color rgb="FF000000"/>
        <rFont val="Arial"/>
        <family val="2"/>
      </rPr>
      <t xml:space="preserve">Dias de Aula até a </t>
    </r>
    <r>
      <rPr>
        <b/>
        <sz val="20"/>
        <color rgb="FF000000"/>
        <rFont val="Arial"/>
        <family val="2"/>
      </rPr>
      <t>A1</t>
    </r>
  </si>
  <si>
    <t>Datas</t>
  </si>
  <si>
    <t>Plano de Aula - Conteúdo</t>
  </si>
  <si>
    <t>Observações e Anotações</t>
  </si>
  <si>
    <t>2° BI - A1</t>
  </si>
  <si>
    <t>1º BI - A2</t>
  </si>
  <si>
    <t>Cronograma - 4º CC - Redes de Computadores</t>
  </si>
  <si>
    <t>ATV -1 - Explorando Dispositivos de Rede na Prática</t>
  </si>
  <si>
    <t xml:space="preserve">ATV 2 - Curso CISCO Packet Tracer </t>
  </si>
  <si>
    <t xml:space="preserve">ATV 3 - 8 Hrs de curso da CISCO </t>
  </si>
  <si>
    <t>A2</t>
  </si>
  <si>
    <r>
      <rPr>
        <b/>
        <sz val="12"/>
        <color theme="1"/>
        <rFont val="Microsoft Sans Serif"/>
        <family val="2"/>
      </rPr>
      <t>2° Semestre/2026</t>
    </r>
    <r>
      <rPr>
        <b/>
        <sz val="14"/>
        <color theme="1"/>
        <rFont val="Microsoft Sans Serif"/>
        <family val="2"/>
      </rPr>
      <t xml:space="preserve">
</t>
    </r>
    <r>
      <rPr>
        <b/>
        <sz val="12"/>
        <color theme="1"/>
        <rFont val="Arial"/>
        <family val="2"/>
      </rPr>
      <t>Prof. Me. DAVI MAXMILLAN</t>
    </r>
    <r>
      <rPr>
        <b/>
        <sz val="14"/>
        <color theme="1"/>
        <rFont val="Arial"/>
        <family val="2"/>
      </rPr>
      <t xml:space="preserve">
Disciplina: </t>
    </r>
    <r>
      <rPr>
        <b/>
        <sz val="14"/>
        <color theme="1"/>
        <rFont val="Times New Roman"/>
        <family val="1"/>
      </rPr>
      <t>Redes de Computadores</t>
    </r>
  </si>
  <si>
    <t>Independência do Brasil</t>
  </si>
  <si>
    <t>Padroeira do Brasil</t>
  </si>
  <si>
    <t>Finados</t>
  </si>
  <si>
    <t>Período de realização das Avaliações Regimentais (A1) das Disciplinas Presenciais</t>
  </si>
  <si>
    <t>Ponte do Feriado do Dia da Padroeira de Franca</t>
  </si>
  <si>
    <t>Período de realização das Avaliações Finais (AFs) das Disciplinas Presenciais</t>
  </si>
  <si>
    <t>Conversar com todos, saber como passaram as férias(Um à um se teve alguma atualização em TI) - Falar sobre: Presenças, atividades, whatsapp e avaliações.</t>
  </si>
  <si>
    <t>ATV -1 - Explorando Dispositivos de Rede na Prática e Simular um ambiente utilizando alguns esses dispositivos, de acordo com seu conhecimento ou pesquisa.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</si>
</sst>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8">
    <font>
      <sz val="10"/>
      <color rgb="FF000000"/>
      <name val="Times New Roman"/>
      <scheme val="minor"/>
    </font>
    <font>
      <b/>
      <sz val="14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Arial"/>
      <family val="2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Liberation sans1"/>
    </font>
    <font>
      <b/>
      <sz val="14"/>
      <color rgb="FF000000"/>
      <name val="Liberation sans1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Liberation sans1"/>
    </font>
    <font>
      <b/>
      <sz val="11"/>
      <color rgb="FF000000"/>
      <name val="Liberation sans1"/>
    </font>
    <font>
      <b/>
      <sz val="14"/>
      <color theme="1"/>
      <name val="Arial"/>
      <family val="2"/>
    </font>
    <font>
      <b/>
      <sz val="8"/>
      <color rgb="FF000000"/>
      <name val="Times New Roman"/>
      <family val="1"/>
    </font>
    <font>
      <b/>
      <i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Times New Roman"/>
      <family val="1"/>
    </font>
    <font>
      <sz val="10"/>
      <color theme="1"/>
      <name val="Times New Roman"/>
      <family val="1"/>
    </font>
    <font>
      <b/>
      <sz val="16"/>
      <color rgb="FF0A0A0A"/>
      <name val="Roboto"/>
    </font>
    <font>
      <b/>
      <sz val="48"/>
      <color rgb="FF000000"/>
      <name val="Times New Roman"/>
      <family val="1"/>
    </font>
    <font>
      <sz val="20"/>
      <color rgb="FF000000"/>
      <name val="Arial"/>
      <family val="2"/>
    </font>
    <font>
      <b/>
      <i/>
      <sz val="14"/>
      <color theme="1"/>
      <name val="Calibri"/>
      <family val="2"/>
    </font>
    <font>
      <b/>
      <i/>
      <sz val="16"/>
      <color theme="1"/>
      <name val="Calibri"/>
      <family val="2"/>
    </font>
    <font>
      <sz val="12"/>
      <color theme="1"/>
      <name val="Arial"/>
      <family val="2"/>
    </font>
    <font>
      <b/>
      <sz val="8"/>
      <color theme="1"/>
      <name val="Times New Roman"/>
      <family val="1"/>
    </font>
    <font>
      <b/>
      <sz val="14"/>
      <color rgb="FFFF0000"/>
      <name val="Arial"/>
      <family val="2"/>
    </font>
    <font>
      <b/>
      <sz val="24"/>
      <color rgb="FFFF0000"/>
      <name val="Arial"/>
      <family val="2"/>
    </font>
    <font>
      <b/>
      <sz val="16"/>
      <color rgb="FFFF0000"/>
      <name val="Arial"/>
      <family val="2"/>
    </font>
    <font>
      <sz val="12"/>
      <color rgb="FFFF0000"/>
      <name val="Arial"/>
      <family val="2"/>
    </font>
    <font>
      <b/>
      <i/>
      <sz val="14"/>
      <color theme="1"/>
      <name val="Arial"/>
      <family val="2"/>
    </font>
    <font>
      <b/>
      <i/>
      <sz val="11"/>
      <color rgb="FFFF0000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Microsoft Sans Serif"/>
      <family val="2"/>
    </font>
    <font>
      <b/>
      <sz val="14"/>
      <color theme="1"/>
      <name val="Microsoft Sans Serif"/>
      <family val="2"/>
    </font>
    <font>
      <b/>
      <sz val="20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20"/>
      <color theme="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Liberation sans1"/>
    </font>
    <font>
      <b/>
      <sz val="14"/>
      <color theme="1"/>
      <name val="Times New Roman"/>
      <family val="2"/>
    </font>
    <font>
      <b/>
      <sz val="1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E36C09"/>
        <bgColor rgb="FFE36C09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B8CCE4"/>
        <bgColor rgb="FFB8CCE4"/>
      </patternFill>
    </fill>
    <fill>
      <patternFill patternType="solid">
        <fgColor rgb="FFC4BD97"/>
        <bgColor rgb="FFC4BD97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 applyAlignment="1">
      <alignment horizontal="left" vertical="top"/>
    </xf>
    <xf numFmtId="0" fontId="4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6" fontId="14" fillId="0" borderId="15" xfId="0" applyNumberFormat="1" applyFont="1" applyBorder="1" applyAlignment="1">
      <alignment horizontal="center" vertical="center" wrapText="1"/>
    </xf>
    <xf numFmtId="164" fontId="8" fillId="7" borderId="16" xfId="0" applyNumberFormat="1" applyFont="1" applyFill="1" applyBorder="1" applyAlignment="1">
      <alignment horizontal="center" vertical="center"/>
    </xf>
    <xf numFmtId="1" fontId="8" fillId="7" borderId="18" xfId="0" applyNumberFormat="1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1" fontId="8" fillId="7" borderId="19" xfId="0" applyNumberFormat="1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/>
    </xf>
    <xf numFmtId="164" fontId="12" fillId="4" borderId="9" xfId="0" applyNumberFormat="1" applyFont="1" applyFill="1" applyBorder="1" applyAlignment="1">
      <alignment horizontal="center"/>
    </xf>
    <xf numFmtId="0" fontId="17" fillId="0" borderId="21" xfId="0" applyFont="1" applyBorder="1" applyAlignment="1">
      <alignment horizontal="left" vertical="center"/>
    </xf>
    <xf numFmtId="1" fontId="17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9" fillId="6" borderId="25" xfId="0" applyNumberFormat="1" applyFont="1" applyFill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/>
    </xf>
    <xf numFmtId="164" fontId="12" fillId="2" borderId="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/>
    </xf>
    <xf numFmtId="164" fontId="12" fillId="2" borderId="6" xfId="0" applyNumberFormat="1" applyFont="1" applyFill="1" applyBorder="1" applyAlignment="1">
      <alignment horizontal="center"/>
    </xf>
    <xf numFmtId="164" fontId="12" fillId="3" borderId="9" xfId="0" applyNumberFormat="1" applyFont="1" applyFill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/>
    </xf>
    <xf numFmtId="1" fontId="17" fillId="0" borderId="2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164" fontId="9" fillId="6" borderId="27" xfId="0" applyNumberFormat="1" applyFont="1" applyFill="1" applyBorder="1" applyAlignment="1">
      <alignment horizontal="center" vertical="center"/>
    </xf>
    <xf numFmtId="0" fontId="17" fillId="0" borderId="31" xfId="0" applyFont="1" applyBorder="1" applyAlignment="1">
      <alignment horizontal="left" vertical="center"/>
    </xf>
    <xf numFmtId="1" fontId="17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4" fontId="12" fillId="2" borderId="34" xfId="0" applyNumberFormat="1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164" fontId="12" fillId="2" borderId="34" xfId="0" applyNumberFormat="1" applyFont="1" applyFill="1" applyBorder="1" applyAlignment="1">
      <alignment horizontal="center"/>
    </xf>
    <xf numFmtId="164" fontId="12" fillId="3" borderId="36" xfId="0" applyNumberFormat="1" applyFont="1" applyFill="1" applyBorder="1" applyAlignment="1">
      <alignment horizontal="center"/>
    </xf>
    <xf numFmtId="164" fontId="12" fillId="4" borderId="36" xfId="0" applyNumberFormat="1" applyFont="1" applyFill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6" fillId="0" borderId="0" xfId="0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16" fontId="27" fillId="0" borderId="0" xfId="0" applyNumberFormat="1" applyFont="1" applyAlignment="1">
      <alignment horizontal="center" vertical="top" wrapText="1"/>
    </xf>
    <xf numFmtId="49" fontId="18" fillId="0" borderId="0" xfId="0" applyNumberFormat="1" applyFont="1" applyAlignment="1">
      <alignment horizontal="center" vertical="top" wrapText="1"/>
    </xf>
    <xf numFmtId="49" fontId="26" fillId="0" borderId="0" xfId="0" applyNumberFormat="1" applyFont="1" applyAlignment="1">
      <alignment horizontal="center" vertical="top" wrapText="1"/>
    </xf>
    <xf numFmtId="49" fontId="26" fillId="0" borderId="0" xfId="0" applyNumberFormat="1" applyFont="1" applyAlignment="1">
      <alignment horizontal="center" vertical="center" wrapText="1"/>
    </xf>
    <xf numFmtId="16" fontId="14" fillId="0" borderId="5" xfId="0" applyNumberFormat="1" applyFont="1" applyBorder="1" applyAlignment="1">
      <alignment horizontal="center" vertical="center" wrapText="1"/>
    </xf>
    <xf numFmtId="49" fontId="13" fillId="0" borderId="45" xfId="0" applyNumberFormat="1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49" fontId="35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2" fontId="12" fillId="0" borderId="5" xfId="0" applyNumberFormat="1" applyFont="1" applyBorder="1" applyAlignment="1">
      <alignment horizontal="center"/>
    </xf>
    <xf numFmtId="0" fontId="15" fillId="0" borderId="4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8" borderId="54" xfId="0" applyFont="1" applyFill="1" applyBorder="1" applyAlignment="1">
      <alignment horizontal="center" vertical="center"/>
    </xf>
    <xf numFmtId="0" fontId="17" fillId="0" borderId="55" xfId="0" applyFont="1" applyBorder="1" applyAlignment="1">
      <alignment horizontal="left" vertical="center"/>
    </xf>
    <xf numFmtId="1" fontId="17" fillId="0" borderId="55" xfId="0" applyNumberFormat="1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16" fontId="14" fillId="0" borderId="27" xfId="0" applyNumberFormat="1" applyFont="1" applyBorder="1" applyAlignment="1">
      <alignment horizontal="center" vertical="center" wrapText="1"/>
    </xf>
    <xf numFmtId="49" fontId="26" fillId="0" borderId="39" xfId="0" applyNumberFormat="1" applyFont="1" applyBorder="1" applyAlignment="1">
      <alignment horizontal="center" vertical="center" wrapText="1"/>
    </xf>
    <xf numFmtId="49" fontId="26" fillId="0" borderId="40" xfId="0" applyNumberFormat="1" applyFont="1" applyBorder="1" applyAlignment="1">
      <alignment horizontal="center" vertical="center" wrapText="1"/>
    </xf>
    <xf numFmtId="49" fontId="26" fillId="0" borderId="41" xfId="0" applyNumberFormat="1" applyFont="1" applyBorder="1" applyAlignment="1">
      <alignment horizontal="center" vertical="center" wrapText="1"/>
    </xf>
    <xf numFmtId="49" fontId="26" fillId="0" borderId="42" xfId="0" applyNumberFormat="1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16" fontId="14" fillId="0" borderId="18" xfId="0" applyNumberFormat="1" applyFont="1" applyBorder="1" applyAlignment="1">
      <alignment horizontal="center" vertical="center" wrapText="1"/>
    </xf>
    <xf numFmtId="49" fontId="13" fillId="0" borderId="39" xfId="0" applyNumberFormat="1" applyFont="1" applyBorder="1" applyAlignment="1">
      <alignment horizontal="center" vertical="center" wrapText="1"/>
    </xf>
    <xf numFmtId="49" fontId="28" fillId="0" borderId="40" xfId="0" applyNumberFormat="1" applyFont="1" applyBorder="1" applyAlignment="1">
      <alignment horizontal="center" vertical="center" wrapText="1"/>
    </xf>
    <xf numFmtId="49" fontId="30" fillId="0" borderId="40" xfId="0" applyNumberFormat="1" applyFont="1" applyBorder="1" applyAlignment="1">
      <alignment horizontal="center" vertical="center" wrapText="1"/>
    </xf>
    <xf numFmtId="49" fontId="26" fillId="0" borderId="43" xfId="0" applyNumberFormat="1" applyFont="1" applyBorder="1" applyAlignment="1">
      <alignment horizontal="center" vertical="center" wrapText="1"/>
    </xf>
    <xf numFmtId="49" fontId="13" fillId="0" borderId="40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2" fontId="12" fillId="7" borderId="16" xfId="0" applyNumberFormat="1" applyFont="1" applyFill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8" borderId="58" xfId="0" applyFont="1" applyFill="1" applyBorder="1" applyAlignment="1">
      <alignment horizontal="center" vertical="center"/>
    </xf>
    <xf numFmtId="2" fontId="12" fillId="7" borderId="14" xfId="0" applyNumberFormat="1" applyFont="1" applyFill="1" applyBorder="1" applyAlignment="1">
      <alignment horizontal="center" vertical="center"/>
    </xf>
    <xf numFmtId="164" fontId="8" fillId="7" borderId="4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top" wrapText="1"/>
    </xf>
    <xf numFmtId="164" fontId="12" fillId="7" borderId="58" xfId="0" applyNumberFormat="1" applyFont="1" applyFill="1" applyBorder="1" applyAlignment="1">
      <alignment horizontal="center" vertical="center"/>
    </xf>
    <xf numFmtId="0" fontId="44" fillId="0" borderId="13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16" fontId="14" fillId="9" borderId="27" xfId="0" applyNumberFormat="1" applyFont="1" applyFill="1" applyBorder="1" applyAlignment="1">
      <alignment horizontal="center" vertical="center" wrapText="1"/>
    </xf>
    <xf numFmtId="49" fontId="26" fillId="9" borderId="40" xfId="0" applyNumberFormat="1" applyFont="1" applyFill="1" applyBorder="1" applyAlignment="1">
      <alignment horizontal="center" vertical="center" wrapText="1"/>
    </xf>
    <xf numFmtId="49" fontId="47" fillId="9" borderId="39" xfId="0" applyNumberFormat="1" applyFont="1" applyFill="1" applyBorder="1" applyAlignment="1">
      <alignment horizontal="center" vertical="center" wrapText="1"/>
    </xf>
    <xf numFmtId="49" fontId="29" fillId="9" borderId="40" xfId="0" applyNumberFormat="1" applyFont="1" applyFill="1" applyBorder="1" applyAlignment="1">
      <alignment horizontal="center" vertical="center" wrapText="1"/>
    </xf>
    <xf numFmtId="16" fontId="14" fillId="9" borderId="18" xfId="0" applyNumberFormat="1" applyFont="1" applyFill="1" applyBorder="1" applyAlignment="1">
      <alignment horizontal="center" vertical="center" wrapText="1"/>
    </xf>
    <xf numFmtId="0" fontId="47" fillId="9" borderId="37" xfId="0" applyFont="1" applyFill="1" applyBorder="1" applyAlignment="1">
      <alignment horizontal="center" vertical="center" wrapText="1"/>
    </xf>
    <xf numFmtId="49" fontId="30" fillId="9" borderId="37" xfId="0" applyNumberFormat="1" applyFont="1" applyFill="1" applyBorder="1" applyAlignment="1">
      <alignment horizontal="center" vertical="center" wrapText="1"/>
    </xf>
    <xf numFmtId="16" fontId="14" fillId="10" borderId="18" xfId="0" applyNumberFormat="1" applyFont="1" applyFill="1" applyBorder="1" applyAlignment="1">
      <alignment horizontal="center" vertical="center" wrapText="1"/>
    </xf>
    <xf numFmtId="49" fontId="13" fillId="10" borderId="44" xfId="0" applyNumberFormat="1" applyFont="1" applyFill="1" applyBorder="1" applyAlignment="1">
      <alignment horizontal="center" vertical="center" wrapText="1"/>
    </xf>
    <xf numFmtId="0" fontId="26" fillId="10" borderId="37" xfId="0" applyFont="1" applyFill="1" applyBorder="1" applyAlignment="1">
      <alignment horizontal="center" vertical="center" wrapText="1"/>
    </xf>
    <xf numFmtId="16" fontId="47" fillId="9" borderId="37" xfId="0" applyNumberFormat="1" applyFont="1" applyFill="1" applyBorder="1" applyAlignment="1">
      <alignment horizontal="center" vertical="center" wrapText="1"/>
    </xf>
    <xf numFmtId="16" fontId="14" fillId="9" borderId="5" xfId="0" applyNumberFormat="1" applyFont="1" applyFill="1" applyBorder="1" applyAlignment="1">
      <alignment horizontal="center" vertical="center" wrapText="1"/>
    </xf>
    <xf numFmtId="0" fontId="26" fillId="9" borderId="37" xfId="0" applyFont="1" applyFill="1" applyBorder="1" applyAlignment="1">
      <alignment horizontal="center" vertical="center" wrapText="1"/>
    </xf>
    <xf numFmtId="16" fontId="14" fillId="10" borderId="5" xfId="0" applyNumberFormat="1" applyFont="1" applyFill="1" applyBorder="1" applyAlignment="1">
      <alignment horizontal="center" vertical="center" wrapText="1"/>
    </xf>
    <xf numFmtId="16" fontId="13" fillId="10" borderId="37" xfId="0" applyNumberFormat="1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41" fillId="0" borderId="51" xfId="0" applyFont="1" applyBorder="1" applyAlignment="1">
      <alignment horizontal="left" vertical="top"/>
    </xf>
    <xf numFmtId="164" fontId="7" fillId="3" borderId="8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4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center" wrapText="1"/>
    </xf>
    <xf numFmtId="164" fontId="8" fillId="5" borderId="46" xfId="0" applyNumberFormat="1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11" fillId="6" borderId="8" xfId="0" applyFont="1" applyFill="1" applyBorder="1" applyAlignment="1">
      <alignment horizontal="center" vertical="center" wrapText="1"/>
    </xf>
    <xf numFmtId="0" fontId="42" fillId="0" borderId="17" xfId="0" applyFont="1" applyBorder="1" applyAlignment="1">
      <alignment horizontal="left" vertical="top"/>
    </xf>
    <xf numFmtId="0" fontId="4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6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" sqref="H2"/>
    </sheetView>
  </sheetViews>
  <sheetFormatPr defaultColWidth="14.44140625" defaultRowHeight="15" customHeight="1"/>
  <cols>
    <col min="1" max="1" width="60.109375" customWidth="1"/>
    <col min="2" max="2" width="14.6640625" customWidth="1"/>
    <col min="3" max="3" width="9.109375" customWidth="1"/>
    <col min="4" max="4" width="9.33203125" customWidth="1"/>
    <col min="5" max="5" width="7.6640625" bestFit="1" customWidth="1"/>
    <col min="6" max="7" width="9.33203125" customWidth="1"/>
    <col min="8" max="8" width="6" bestFit="1" customWidth="1"/>
    <col min="9" max="9" width="8.44140625" customWidth="1"/>
    <col min="10" max="10" width="7.109375" customWidth="1"/>
    <col min="11" max="11" width="1.44140625" customWidth="1"/>
    <col min="12" max="12" width="6" bestFit="1" customWidth="1"/>
    <col min="13" max="13" width="7.109375" bestFit="1" customWidth="1"/>
    <col min="14" max="14" width="1.44140625" customWidth="1"/>
    <col min="15" max="15" width="9.44140625" customWidth="1"/>
    <col min="16" max="16" width="1.44140625" customWidth="1"/>
    <col min="17" max="17" width="8.109375" bestFit="1" customWidth="1"/>
    <col min="18" max="18" width="9.109375" customWidth="1"/>
    <col min="19" max="19" width="1.44140625" customWidth="1"/>
    <col min="20" max="20" width="11.33203125" customWidth="1"/>
    <col min="21" max="21" width="15.33203125" customWidth="1"/>
  </cols>
  <sheetData>
    <row r="1" spans="1:21" ht="32.25" customHeight="1" thickBot="1">
      <c r="A1" s="135" t="s">
        <v>25</v>
      </c>
      <c r="B1" s="136"/>
      <c r="C1" s="139" t="s">
        <v>0</v>
      </c>
      <c r="D1" s="140"/>
      <c r="E1" s="142" t="s">
        <v>19</v>
      </c>
      <c r="F1" s="142"/>
      <c r="G1" s="142"/>
      <c r="H1" s="143"/>
      <c r="I1" s="143"/>
      <c r="J1" s="144"/>
      <c r="K1" s="1"/>
      <c r="L1" s="145" t="s">
        <v>18</v>
      </c>
      <c r="M1" s="144"/>
      <c r="N1" s="2"/>
      <c r="O1" s="129" t="s">
        <v>1</v>
      </c>
      <c r="P1" s="3"/>
      <c r="Q1" s="145" t="s">
        <v>13</v>
      </c>
      <c r="R1" s="144"/>
      <c r="S1" s="3"/>
      <c r="T1" s="146" t="s">
        <v>2</v>
      </c>
      <c r="U1" s="127" t="s">
        <v>3</v>
      </c>
    </row>
    <row r="2" spans="1:21" ht="54" customHeight="1" thickBot="1">
      <c r="A2" s="137"/>
      <c r="B2" s="138"/>
      <c r="C2" s="137"/>
      <c r="D2" s="141"/>
      <c r="E2" s="100" t="s">
        <v>21</v>
      </c>
      <c r="F2" s="101" t="s">
        <v>22</v>
      </c>
      <c r="G2" s="107" t="s">
        <v>23</v>
      </c>
      <c r="H2" s="109" t="s">
        <v>24</v>
      </c>
      <c r="I2" s="149" t="s">
        <v>4</v>
      </c>
      <c r="J2" s="4" t="s">
        <v>5</v>
      </c>
      <c r="K2" s="5"/>
      <c r="L2" s="110" t="s">
        <v>12</v>
      </c>
      <c r="M2" s="6" t="s">
        <v>6</v>
      </c>
      <c r="N2" s="7"/>
      <c r="O2" s="130"/>
      <c r="P2" s="8"/>
      <c r="Q2" s="9" t="s">
        <v>7</v>
      </c>
      <c r="R2" s="6" t="s">
        <v>8</v>
      </c>
      <c r="S2" s="8"/>
      <c r="T2" s="147"/>
      <c r="U2" s="128"/>
    </row>
    <row r="3" spans="1:21" ht="21" thickBot="1">
      <c r="A3" s="10" t="s">
        <v>9</v>
      </c>
      <c r="B3" s="10" t="s">
        <v>10</v>
      </c>
      <c r="C3" s="11"/>
      <c r="D3" s="11"/>
      <c r="E3" s="102">
        <v>0.05</v>
      </c>
      <c r="F3" s="105">
        <v>0.05</v>
      </c>
      <c r="G3" s="108">
        <v>0.1</v>
      </c>
      <c r="H3" s="106">
        <v>0.3</v>
      </c>
      <c r="I3" s="150"/>
      <c r="J3" s="13">
        <v>5</v>
      </c>
      <c r="K3" s="14"/>
      <c r="L3" s="12">
        <v>0.5</v>
      </c>
      <c r="M3" s="15">
        <v>5</v>
      </c>
      <c r="N3" s="16"/>
      <c r="O3" s="131"/>
      <c r="P3" s="17"/>
      <c r="Q3" s="12">
        <v>0.5</v>
      </c>
      <c r="R3" s="15">
        <v>5</v>
      </c>
      <c r="S3" s="17"/>
      <c r="T3" s="148"/>
      <c r="U3" s="74" t="s">
        <v>11</v>
      </c>
    </row>
    <row r="4" spans="1:21" ht="17.25" customHeight="1" thickBot="1">
      <c r="A4" s="18"/>
      <c r="B4" s="19"/>
      <c r="C4" s="20"/>
      <c r="D4" s="21"/>
      <c r="E4" s="75"/>
      <c r="F4" s="77"/>
      <c r="G4" s="103"/>
      <c r="H4" s="22"/>
      <c r="I4" s="23"/>
      <c r="J4" s="24">
        <f>(E4*$E$3)+(F4*$F$3)+(H4*$H$3)</f>
        <v>0</v>
      </c>
      <c r="K4" s="25"/>
      <c r="L4" s="26"/>
      <c r="M4" s="27">
        <f>(L4*$L$3)+O4</f>
        <v>0</v>
      </c>
      <c r="N4" s="28"/>
      <c r="O4" s="29"/>
      <c r="P4" s="17"/>
      <c r="Q4" s="30"/>
      <c r="R4" s="27">
        <f t="shared" ref="R4:R26" si="0">(Q4*$Q$3)</f>
        <v>0</v>
      </c>
      <c r="S4" s="17"/>
      <c r="T4" s="31">
        <f>(LARGE((J4,M4,R4),1) + LARGE((J4,M4,R4),2))</f>
        <v>0</v>
      </c>
      <c r="U4" s="32" t="str">
        <f t="shared" ref="U4:U26" si="1">IF(T4&gt;=5.75,"APROVADO","REPROVADO")</f>
        <v>REPROVADO</v>
      </c>
    </row>
    <row r="5" spans="1:21" ht="17.25" customHeight="1" thickBot="1">
      <c r="A5" s="80"/>
      <c r="B5" s="81"/>
      <c r="C5" s="82"/>
      <c r="D5" s="83"/>
      <c r="E5" s="75"/>
      <c r="F5" s="77"/>
      <c r="G5" s="103"/>
      <c r="H5" s="22"/>
      <c r="I5" s="23"/>
      <c r="J5" s="24">
        <f t="shared" ref="J5:J18" si="2">(E5*$E$3)+(F5*$F$3)+(H5*$H$3)</f>
        <v>0</v>
      </c>
      <c r="K5" s="25"/>
      <c r="L5" s="26"/>
      <c r="M5" s="27">
        <f t="shared" ref="M5:M18" si="3">(L5*$L$3)+O5</f>
        <v>0</v>
      </c>
      <c r="N5" s="28"/>
      <c r="O5" s="29"/>
      <c r="P5" s="17"/>
      <c r="Q5" s="30"/>
      <c r="R5" s="27">
        <f t="shared" ref="R5:R18" si="4">(Q5*$Q$3)</f>
        <v>0</v>
      </c>
      <c r="S5" s="17"/>
      <c r="T5" s="31">
        <f>(LARGE((J5,M5,R5),1) + LARGE((J5,M5,R5),2))</f>
        <v>0</v>
      </c>
      <c r="U5" s="32" t="str">
        <f t="shared" ref="U5:U18" si="5">IF(T5&gt;=5.75,"APROVADO","REPROVADO")</f>
        <v>REPROVADO</v>
      </c>
    </row>
    <row r="6" spans="1:21" ht="17.25" customHeight="1" thickBot="1">
      <c r="A6" s="80"/>
      <c r="B6" s="81"/>
      <c r="C6" s="82"/>
      <c r="D6" s="83"/>
      <c r="E6" s="75"/>
      <c r="F6" s="77"/>
      <c r="G6" s="103"/>
      <c r="H6" s="22"/>
      <c r="I6" s="23"/>
      <c r="J6" s="24">
        <f t="shared" si="2"/>
        <v>0</v>
      </c>
      <c r="K6" s="25"/>
      <c r="L6" s="26"/>
      <c r="M6" s="27">
        <f t="shared" si="3"/>
        <v>0</v>
      </c>
      <c r="N6" s="28"/>
      <c r="O6" s="29"/>
      <c r="P6" s="17"/>
      <c r="Q6" s="30"/>
      <c r="R6" s="27">
        <f t="shared" si="4"/>
        <v>0</v>
      </c>
      <c r="S6" s="17"/>
      <c r="T6" s="31">
        <f>(LARGE((J6,M6,R6),1) + LARGE((J6,M6,R6),2))</f>
        <v>0</v>
      </c>
      <c r="U6" s="32" t="str">
        <f t="shared" si="5"/>
        <v>REPROVADO</v>
      </c>
    </row>
    <row r="7" spans="1:21" ht="17.25" customHeight="1" thickBot="1">
      <c r="A7" s="80"/>
      <c r="B7" s="81"/>
      <c r="C7" s="82"/>
      <c r="D7" s="83"/>
      <c r="E7" s="75"/>
      <c r="F7" s="77"/>
      <c r="G7" s="103"/>
      <c r="H7" s="22"/>
      <c r="I7" s="23"/>
      <c r="J7" s="24">
        <f t="shared" si="2"/>
        <v>0</v>
      </c>
      <c r="K7" s="25"/>
      <c r="L7" s="26"/>
      <c r="M7" s="27">
        <f t="shared" si="3"/>
        <v>0</v>
      </c>
      <c r="N7" s="28"/>
      <c r="O7" s="29"/>
      <c r="P7" s="17"/>
      <c r="Q7" s="30"/>
      <c r="R7" s="27">
        <f t="shared" si="4"/>
        <v>0</v>
      </c>
      <c r="S7" s="17"/>
      <c r="T7" s="31">
        <f>(LARGE((J7,M7,R7),1) + LARGE((J7,M7,R7),2))</f>
        <v>0</v>
      </c>
      <c r="U7" s="32" t="str">
        <f t="shared" si="5"/>
        <v>REPROVADO</v>
      </c>
    </row>
    <row r="8" spans="1:21" ht="17.25" customHeight="1" thickBot="1">
      <c r="A8" s="80"/>
      <c r="B8" s="81"/>
      <c r="C8" s="82"/>
      <c r="D8" s="83"/>
      <c r="E8" s="75"/>
      <c r="F8" s="77"/>
      <c r="G8" s="103"/>
      <c r="H8" s="22"/>
      <c r="I8" s="23"/>
      <c r="J8" s="24">
        <f t="shared" si="2"/>
        <v>0</v>
      </c>
      <c r="K8" s="25"/>
      <c r="L8" s="26"/>
      <c r="M8" s="27">
        <f t="shared" si="3"/>
        <v>0</v>
      </c>
      <c r="N8" s="28"/>
      <c r="O8" s="29"/>
      <c r="P8" s="17"/>
      <c r="Q8" s="30"/>
      <c r="R8" s="27">
        <f t="shared" si="4"/>
        <v>0</v>
      </c>
      <c r="S8" s="17"/>
      <c r="T8" s="31">
        <f>(LARGE((J8,M8,R8),1) + LARGE((J8,M8,R8),2))</f>
        <v>0</v>
      </c>
      <c r="U8" s="32" t="str">
        <f t="shared" si="5"/>
        <v>REPROVADO</v>
      </c>
    </row>
    <row r="9" spans="1:21" ht="17.25" customHeight="1" thickBot="1">
      <c r="A9" s="80"/>
      <c r="B9" s="81"/>
      <c r="C9" s="82"/>
      <c r="D9" s="83"/>
      <c r="E9" s="75"/>
      <c r="F9" s="77"/>
      <c r="G9" s="103"/>
      <c r="H9" s="22"/>
      <c r="I9" s="23"/>
      <c r="J9" s="24">
        <f t="shared" si="2"/>
        <v>0</v>
      </c>
      <c r="K9" s="25"/>
      <c r="L9" s="26"/>
      <c r="M9" s="27">
        <f t="shared" si="3"/>
        <v>0</v>
      </c>
      <c r="N9" s="28"/>
      <c r="O9" s="29"/>
      <c r="P9" s="17"/>
      <c r="Q9" s="30"/>
      <c r="R9" s="27">
        <f t="shared" si="4"/>
        <v>0</v>
      </c>
      <c r="S9" s="17"/>
      <c r="T9" s="31">
        <f>(LARGE((J9,M9,R9),1) + LARGE((J9,M9,R9),2))</f>
        <v>0</v>
      </c>
      <c r="U9" s="32" t="str">
        <f t="shared" si="5"/>
        <v>REPROVADO</v>
      </c>
    </row>
    <row r="10" spans="1:21" ht="17.25" customHeight="1" thickBot="1">
      <c r="A10" s="80"/>
      <c r="B10" s="81"/>
      <c r="C10" s="82"/>
      <c r="D10" s="83"/>
      <c r="E10" s="75"/>
      <c r="F10" s="77"/>
      <c r="G10" s="103"/>
      <c r="H10" s="22"/>
      <c r="I10" s="23"/>
      <c r="J10" s="24">
        <f t="shared" si="2"/>
        <v>0</v>
      </c>
      <c r="K10" s="25"/>
      <c r="L10" s="26"/>
      <c r="M10" s="27">
        <f t="shared" si="3"/>
        <v>0</v>
      </c>
      <c r="N10" s="28"/>
      <c r="O10" s="29"/>
      <c r="P10" s="17"/>
      <c r="Q10" s="30"/>
      <c r="R10" s="27">
        <f t="shared" si="4"/>
        <v>0</v>
      </c>
      <c r="S10" s="17"/>
      <c r="T10" s="31">
        <f>(LARGE((J10,M10,R10),1) + LARGE((J10,M10,R10),2))</f>
        <v>0</v>
      </c>
      <c r="U10" s="32" t="str">
        <f t="shared" si="5"/>
        <v>REPROVADO</v>
      </c>
    </row>
    <row r="11" spans="1:21" ht="17.25" customHeight="1" thickBot="1">
      <c r="A11" s="80"/>
      <c r="B11" s="81"/>
      <c r="C11" s="82"/>
      <c r="D11" s="83"/>
      <c r="E11" s="75"/>
      <c r="F11" s="77"/>
      <c r="G11" s="103"/>
      <c r="H11" s="22"/>
      <c r="I11" s="23"/>
      <c r="J11" s="24">
        <f t="shared" si="2"/>
        <v>0</v>
      </c>
      <c r="K11" s="25"/>
      <c r="L11" s="26"/>
      <c r="M11" s="27">
        <f t="shared" si="3"/>
        <v>0</v>
      </c>
      <c r="N11" s="28"/>
      <c r="O11" s="29"/>
      <c r="P11" s="17"/>
      <c r="Q11" s="30"/>
      <c r="R11" s="27">
        <f t="shared" si="4"/>
        <v>0</v>
      </c>
      <c r="S11" s="17"/>
      <c r="T11" s="31">
        <f>(LARGE((J11,M11,R11),1) + LARGE((J11,M11,R11),2))</f>
        <v>0</v>
      </c>
      <c r="U11" s="32" t="str">
        <f t="shared" si="5"/>
        <v>REPROVADO</v>
      </c>
    </row>
    <row r="12" spans="1:21" ht="17.25" customHeight="1" thickBot="1">
      <c r="A12" s="80"/>
      <c r="B12" s="81"/>
      <c r="C12" s="82"/>
      <c r="D12" s="83"/>
      <c r="E12" s="75"/>
      <c r="F12" s="77"/>
      <c r="G12" s="103"/>
      <c r="H12" s="22"/>
      <c r="I12" s="23"/>
      <c r="J12" s="24">
        <f t="shared" si="2"/>
        <v>0</v>
      </c>
      <c r="K12" s="25"/>
      <c r="L12" s="26"/>
      <c r="M12" s="27">
        <f t="shared" si="3"/>
        <v>0</v>
      </c>
      <c r="N12" s="28"/>
      <c r="O12" s="29"/>
      <c r="P12" s="17"/>
      <c r="Q12" s="30"/>
      <c r="R12" s="27">
        <f t="shared" si="4"/>
        <v>0</v>
      </c>
      <c r="S12" s="17"/>
      <c r="T12" s="31">
        <f>(LARGE((J12,M12,R12),1) + LARGE((J12,M12,R12),2))</f>
        <v>0</v>
      </c>
      <c r="U12" s="32" t="str">
        <f t="shared" si="5"/>
        <v>REPROVADO</v>
      </c>
    </row>
    <row r="13" spans="1:21" ht="17.25" customHeight="1" thickBot="1">
      <c r="A13" s="80"/>
      <c r="B13" s="81"/>
      <c r="C13" s="82"/>
      <c r="D13" s="83"/>
      <c r="E13" s="75"/>
      <c r="F13" s="77"/>
      <c r="G13" s="103"/>
      <c r="H13" s="22"/>
      <c r="I13" s="23"/>
      <c r="J13" s="24">
        <f t="shared" si="2"/>
        <v>0</v>
      </c>
      <c r="K13" s="25"/>
      <c r="L13" s="26"/>
      <c r="M13" s="27">
        <f t="shared" si="3"/>
        <v>0</v>
      </c>
      <c r="N13" s="28"/>
      <c r="O13" s="29"/>
      <c r="P13" s="17"/>
      <c r="Q13" s="30"/>
      <c r="R13" s="27">
        <f t="shared" si="4"/>
        <v>0</v>
      </c>
      <c r="S13" s="17"/>
      <c r="T13" s="31">
        <f>(LARGE((J13,M13,R13),1) + LARGE((J13,M13,R13),2))</f>
        <v>0</v>
      </c>
      <c r="U13" s="32" t="str">
        <f t="shared" si="5"/>
        <v>REPROVADO</v>
      </c>
    </row>
    <row r="14" spans="1:21" ht="17.25" customHeight="1" thickBot="1">
      <c r="A14" s="80"/>
      <c r="B14" s="81"/>
      <c r="C14" s="82"/>
      <c r="D14" s="83"/>
      <c r="E14" s="75"/>
      <c r="F14" s="77"/>
      <c r="G14" s="103"/>
      <c r="H14" s="22"/>
      <c r="I14" s="23"/>
      <c r="J14" s="24">
        <f t="shared" si="2"/>
        <v>0</v>
      </c>
      <c r="K14" s="25"/>
      <c r="L14" s="26"/>
      <c r="M14" s="27">
        <f t="shared" si="3"/>
        <v>0</v>
      </c>
      <c r="N14" s="28"/>
      <c r="O14" s="29"/>
      <c r="P14" s="17"/>
      <c r="Q14" s="30"/>
      <c r="R14" s="27">
        <f t="shared" si="4"/>
        <v>0</v>
      </c>
      <c r="S14" s="17"/>
      <c r="T14" s="31">
        <f>(LARGE((J14,M14,R14),1) + LARGE((J14,M14,R14),2))</f>
        <v>0</v>
      </c>
      <c r="U14" s="32" t="str">
        <f t="shared" si="5"/>
        <v>REPROVADO</v>
      </c>
    </row>
    <row r="15" spans="1:21" ht="17.25" customHeight="1" thickBot="1">
      <c r="A15" s="80"/>
      <c r="B15" s="81"/>
      <c r="C15" s="82"/>
      <c r="D15" s="83"/>
      <c r="E15" s="75"/>
      <c r="F15" s="77"/>
      <c r="G15" s="103"/>
      <c r="H15" s="22"/>
      <c r="I15" s="23"/>
      <c r="J15" s="24">
        <f t="shared" si="2"/>
        <v>0</v>
      </c>
      <c r="K15" s="25"/>
      <c r="L15" s="26"/>
      <c r="M15" s="27">
        <f t="shared" si="3"/>
        <v>0</v>
      </c>
      <c r="N15" s="28"/>
      <c r="O15" s="29"/>
      <c r="P15" s="17"/>
      <c r="Q15" s="30"/>
      <c r="R15" s="27">
        <f t="shared" si="4"/>
        <v>0</v>
      </c>
      <c r="S15" s="17"/>
      <c r="T15" s="31">
        <f>(LARGE((J15,M15,R15),1) + LARGE((J15,M15,R15),2))</f>
        <v>0</v>
      </c>
      <c r="U15" s="32" t="str">
        <f t="shared" si="5"/>
        <v>REPROVADO</v>
      </c>
    </row>
    <row r="16" spans="1:21" ht="17.25" customHeight="1" thickBot="1">
      <c r="A16" s="80"/>
      <c r="B16" s="81"/>
      <c r="C16" s="82"/>
      <c r="D16" s="83"/>
      <c r="E16" s="75"/>
      <c r="F16" s="77"/>
      <c r="G16" s="103"/>
      <c r="H16" s="22"/>
      <c r="I16" s="23"/>
      <c r="J16" s="24">
        <f t="shared" si="2"/>
        <v>0</v>
      </c>
      <c r="K16" s="25"/>
      <c r="L16" s="26"/>
      <c r="M16" s="27">
        <f t="shared" si="3"/>
        <v>0</v>
      </c>
      <c r="N16" s="28"/>
      <c r="O16" s="29"/>
      <c r="P16" s="17"/>
      <c r="Q16" s="30"/>
      <c r="R16" s="27">
        <f t="shared" si="4"/>
        <v>0</v>
      </c>
      <c r="S16" s="17"/>
      <c r="T16" s="31">
        <f>(LARGE((J16,M16,R16),1) + LARGE((J16,M16,R16),2))</f>
        <v>0</v>
      </c>
      <c r="U16" s="32" t="str">
        <f t="shared" si="5"/>
        <v>REPROVADO</v>
      </c>
    </row>
    <row r="17" spans="1:21" ht="17.25" customHeight="1" thickBot="1">
      <c r="A17" s="80"/>
      <c r="B17" s="81"/>
      <c r="C17" s="82"/>
      <c r="D17" s="83"/>
      <c r="E17" s="75"/>
      <c r="F17" s="77"/>
      <c r="G17" s="103"/>
      <c r="H17" s="22"/>
      <c r="I17" s="23"/>
      <c r="J17" s="24">
        <f t="shared" si="2"/>
        <v>0</v>
      </c>
      <c r="K17" s="25"/>
      <c r="L17" s="26"/>
      <c r="M17" s="27">
        <f t="shared" si="3"/>
        <v>0</v>
      </c>
      <c r="N17" s="28"/>
      <c r="O17" s="29"/>
      <c r="P17" s="17"/>
      <c r="Q17" s="30"/>
      <c r="R17" s="27">
        <f t="shared" si="4"/>
        <v>0</v>
      </c>
      <c r="S17" s="17"/>
      <c r="T17" s="31">
        <f>(LARGE((J17,M17,R17),1) + LARGE((J17,M17,R17),2))</f>
        <v>0</v>
      </c>
      <c r="U17" s="32" t="str">
        <f t="shared" si="5"/>
        <v>REPROVADO</v>
      </c>
    </row>
    <row r="18" spans="1:21" ht="17.25" customHeight="1" thickBot="1">
      <c r="A18" s="80"/>
      <c r="B18" s="81"/>
      <c r="C18" s="82"/>
      <c r="D18" s="83"/>
      <c r="E18" s="75"/>
      <c r="F18" s="77"/>
      <c r="G18" s="103"/>
      <c r="H18" s="22"/>
      <c r="I18" s="23"/>
      <c r="J18" s="24">
        <f t="shared" si="2"/>
        <v>0</v>
      </c>
      <c r="K18" s="25"/>
      <c r="L18" s="26"/>
      <c r="M18" s="27">
        <f t="shared" si="3"/>
        <v>0</v>
      </c>
      <c r="N18" s="28"/>
      <c r="O18" s="29"/>
      <c r="P18" s="17"/>
      <c r="Q18" s="30"/>
      <c r="R18" s="27">
        <f t="shared" si="4"/>
        <v>0</v>
      </c>
      <c r="S18" s="17"/>
      <c r="T18" s="31">
        <f>(LARGE((J18,M18,R18),1) + LARGE((J18,M18,R18),2))</f>
        <v>0</v>
      </c>
      <c r="U18" s="32" t="str">
        <f t="shared" si="5"/>
        <v>REPROVADO</v>
      </c>
    </row>
    <row r="19" spans="1:21" ht="17.25" customHeight="1" thickBot="1">
      <c r="A19" s="33"/>
      <c r="B19" s="34"/>
      <c r="C19" s="35"/>
      <c r="D19" s="36"/>
      <c r="E19" s="75"/>
      <c r="F19" s="78"/>
      <c r="G19" s="103"/>
      <c r="H19" s="22"/>
      <c r="I19" s="37"/>
      <c r="J19" s="24">
        <f t="shared" ref="J19:J26" si="6">(E19*$E$3)+(F19*$F$3)+(H19*$H$3)</f>
        <v>0</v>
      </c>
      <c r="K19" s="14"/>
      <c r="L19" s="30"/>
      <c r="M19" s="27">
        <f t="shared" ref="M19:M26" si="7">(L19*$L$3)+O19</f>
        <v>0</v>
      </c>
      <c r="N19" s="16"/>
      <c r="O19" s="29"/>
      <c r="P19" s="17"/>
      <c r="Q19" s="30"/>
      <c r="R19" s="27">
        <f t="shared" si="0"/>
        <v>0</v>
      </c>
      <c r="S19" s="17"/>
      <c r="T19" s="31">
        <f>(LARGE((J19,M19,R19),1) + LARGE((J19,M19,R19),2))</f>
        <v>0</v>
      </c>
      <c r="U19" s="32" t="str">
        <f t="shared" si="1"/>
        <v>REPROVADO</v>
      </c>
    </row>
    <row r="20" spans="1:21" ht="17.25" customHeight="1" thickBot="1">
      <c r="A20" s="33"/>
      <c r="B20" s="34"/>
      <c r="C20" s="35"/>
      <c r="D20" s="36"/>
      <c r="E20" s="75"/>
      <c r="F20" s="78"/>
      <c r="G20" s="103"/>
      <c r="H20" s="22"/>
      <c r="I20" s="37"/>
      <c r="J20" s="24">
        <f t="shared" si="6"/>
        <v>0</v>
      </c>
      <c r="K20" s="14"/>
      <c r="L20" s="30"/>
      <c r="M20" s="27">
        <f t="shared" si="7"/>
        <v>0</v>
      </c>
      <c r="N20" s="16"/>
      <c r="O20" s="29"/>
      <c r="P20" s="17"/>
      <c r="Q20" s="30"/>
      <c r="R20" s="73">
        <f t="shared" si="0"/>
        <v>0</v>
      </c>
      <c r="S20" s="17"/>
      <c r="T20" s="31">
        <f>(LARGE((J20,M20,R20),1) + LARGE((J20,M20,R20),2))</f>
        <v>0</v>
      </c>
      <c r="U20" s="32" t="str">
        <f t="shared" si="1"/>
        <v>REPROVADO</v>
      </c>
    </row>
    <row r="21" spans="1:21" ht="17.25" customHeight="1" thickBot="1">
      <c r="A21" s="33"/>
      <c r="B21" s="34"/>
      <c r="C21" s="35"/>
      <c r="D21" s="36"/>
      <c r="E21" s="75"/>
      <c r="F21" s="78"/>
      <c r="G21" s="103"/>
      <c r="H21" s="22"/>
      <c r="I21" s="37"/>
      <c r="J21" s="24">
        <f t="shared" si="6"/>
        <v>0</v>
      </c>
      <c r="K21" s="14"/>
      <c r="L21" s="30"/>
      <c r="M21" s="27">
        <f t="shared" si="7"/>
        <v>0</v>
      </c>
      <c r="N21" s="16"/>
      <c r="O21" s="29"/>
      <c r="P21" s="17"/>
      <c r="Q21" s="30"/>
      <c r="R21" s="27">
        <f t="shared" si="0"/>
        <v>0</v>
      </c>
      <c r="S21" s="17"/>
      <c r="T21" s="31">
        <f>(LARGE((J21,M21,R21),1) + LARGE((J21,M21,R21),2))</f>
        <v>0</v>
      </c>
      <c r="U21" s="32" t="str">
        <f t="shared" si="1"/>
        <v>REPROVADO</v>
      </c>
    </row>
    <row r="22" spans="1:21" ht="17.25" customHeight="1" thickBot="1">
      <c r="A22" s="33"/>
      <c r="B22" s="34"/>
      <c r="C22" s="35"/>
      <c r="D22" s="36"/>
      <c r="E22" s="75"/>
      <c r="F22" s="78"/>
      <c r="G22" s="103"/>
      <c r="H22" s="22"/>
      <c r="I22" s="37"/>
      <c r="J22" s="24">
        <f t="shared" si="6"/>
        <v>0</v>
      </c>
      <c r="K22" s="14"/>
      <c r="L22" s="30"/>
      <c r="M22" s="27">
        <f t="shared" si="7"/>
        <v>0</v>
      </c>
      <c r="N22" s="16"/>
      <c r="O22" s="29"/>
      <c r="P22" s="17"/>
      <c r="Q22" s="30"/>
      <c r="R22" s="73">
        <f t="shared" si="0"/>
        <v>0</v>
      </c>
      <c r="S22" s="17"/>
      <c r="T22" s="31">
        <f>(LARGE((J22,M22,R22),1) + LARGE((J22,M22,R22),2))</f>
        <v>0</v>
      </c>
      <c r="U22" s="32" t="str">
        <f t="shared" si="1"/>
        <v>REPROVADO</v>
      </c>
    </row>
    <row r="23" spans="1:21" ht="17.25" customHeight="1" thickBot="1">
      <c r="A23" s="33"/>
      <c r="B23" s="34"/>
      <c r="C23" s="35"/>
      <c r="D23" s="36"/>
      <c r="E23" s="75"/>
      <c r="F23" s="78"/>
      <c r="G23" s="103"/>
      <c r="H23" s="22"/>
      <c r="I23" s="37"/>
      <c r="J23" s="24">
        <f t="shared" si="6"/>
        <v>0</v>
      </c>
      <c r="K23" s="14"/>
      <c r="L23" s="30"/>
      <c r="M23" s="27">
        <f t="shared" si="7"/>
        <v>0</v>
      </c>
      <c r="N23" s="16"/>
      <c r="O23" s="29"/>
      <c r="P23" s="17"/>
      <c r="Q23" s="30"/>
      <c r="R23" s="27">
        <f t="shared" si="0"/>
        <v>0</v>
      </c>
      <c r="S23" s="17"/>
      <c r="T23" s="31">
        <f>(LARGE((J23,M23,R23),1) + LARGE((J23,M23,R23),2))</f>
        <v>0</v>
      </c>
      <c r="U23" s="32" t="str">
        <f t="shared" si="1"/>
        <v>REPROVADO</v>
      </c>
    </row>
    <row r="24" spans="1:21" ht="17.25" customHeight="1" thickBot="1">
      <c r="A24" s="33"/>
      <c r="B24" s="34"/>
      <c r="C24" s="35"/>
      <c r="D24" s="36"/>
      <c r="E24" s="75"/>
      <c r="F24" s="78"/>
      <c r="G24" s="103"/>
      <c r="H24" s="22"/>
      <c r="I24" s="37"/>
      <c r="J24" s="24">
        <f t="shared" si="6"/>
        <v>0</v>
      </c>
      <c r="K24" s="14"/>
      <c r="L24" s="30"/>
      <c r="M24" s="27">
        <f t="shared" si="7"/>
        <v>0</v>
      </c>
      <c r="N24" s="16"/>
      <c r="O24" s="29"/>
      <c r="P24" s="17"/>
      <c r="Q24" s="30"/>
      <c r="R24" s="27">
        <f t="shared" si="0"/>
        <v>0</v>
      </c>
      <c r="S24" s="17"/>
      <c r="T24" s="31">
        <f>(LARGE((J24,M24,R24),1) + LARGE((J24,M24,R24),2))</f>
        <v>0</v>
      </c>
      <c r="U24" s="32" t="str">
        <f t="shared" si="1"/>
        <v>REPROVADO</v>
      </c>
    </row>
    <row r="25" spans="1:21" ht="17.25" customHeight="1" thickBot="1">
      <c r="A25" s="33"/>
      <c r="B25" s="34"/>
      <c r="C25" s="35"/>
      <c r="D25" s="36"/>
      <c r="E25" s="75"/>
      <c r="F25" s="78"/>
      <c r="G25" s="103"/>
      <c r="H25" s="22"/>
      <c r="I25" s="37"/>
      <c r="J25" s="24">
        <f t="shared" si="6"/>
        <v>0</v>
      </c>
      <c r="K25" s="14"/>
      <c r="L25" s="30"/>
      <c r="M25" s="27">
        <f t="shared" si="7"/>
        <v>0</v>
      </c>
      <c r="N25" s="16"/>
      <c r="O25" s="29"/>
      <c r="P25" s="17"/>
      <c r="Q25" s="30"/>
      <c r="R25" s="27">
        <f t="shared" si="0"/>
        <v>0</v>
      </c>
      <c r="S25" s="17"/>
      <c r="T25" s="31">
        <f>(LARGE((J25,M25,R25),1) + LARGE((J25,M25,R25),2))</f>
        <v>0</v>
      </c>
      <c r="U25" s="32" t="str">
        <f t="shared" si="1"/>
        <v>REPROVADO</v>
      </c>
    </row>
    <row r="26" spans="1:21" ht="17.25" customHeight="1" thickBot="1">
      <c r="A26" s="38"/>
      <c r="B26" s="39"/>
      <c r="C26" s="40"/>
      <c r="D26" s="41"/>
      <c r="E26" s="76"/>
      <c r="F26" s="79"/>
      <c r="G26" s="104"/>
      <c r="H26" s="42"/>
      <c r="I26" s="37"/>
      <c r="J26" s="24">
        <f t="shared" si="6"/>
        <v>0</v>
      </c>
      <c r="K26" s="43"/>
      <c r="L26" s="44"/>
      <c r="M26" s="27">
        <f t="shared" si="7"/>
        <v>0</v>
      </c>
      <c r="N26" s="45"/>
      <c r="O26" s="46"/>
      <c r="P26" s="47"/>
      <c r="Q26" s="44"/>
      <c r="R26" s="27">
        <f t="shared" si="0"/>
        <v>0</v>
      </c>
      <c r="S26" s="47"/>
      <c r="T26" s="48">
        <f>(LARGE((J26,M26,R26),1) + LARGE((J26,M26,R26),2))</f>
        <v>0</v>
      </c>
      <c r="U26" s="32" t="str">
        <f t="shared" si="1"/>
        <v>REPROVADO</v>
      </c>
    </row>
    <row r="27" spans="1:21" ht="12.75" customHeight="1">
      <c r="C27" s="49"/>
      <c r="I27" s="50"/>
    </row>
    <row r="28" spans="1:21" ht="21">
      <c r="A28" s="51"/>
      <c r="C28" s="52"/>
      <c r="J28" s="132"/>
      <c r="K28" s="133"/>
      <c r="L28" s="133"/>
      <c r="M28" s="133"/>
      <c r="N28" s="133"/>
      <c r="O28" s="133"/>
      <c r="P28" s="133"/>
      <c r="Q28" s="133"/>
      <c r="R28" s="133"/>
      <c r="S28" s="133"/>
      <c r="T28" s="53"/>
      <c r="U28" s="54"/>
    </row>
    <row r="29" spans="1:21" ht="12.75" customHeight="1">
      <c r="A29" s="134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</row>
    <row r="30" spans="1:21" ht="12.75" customHeight="1">
      <c r="A30" s="133"/>
    </row>
    <row r="31" spans="1:21" ht="12.75" customHeight="1">
      <c r="A31" s="133"/>
    </row>
    <row r="32" spans="1:21" ht="12.75" customHeight="1"/>
    <row r="33" spans="4:4" ht="12.75" customHeight="1"/>
    <row r="34" spans="4:4" ht="12.75" customHeight="1"/>
    <row r="35" spans="4:4" ht="12.75" customHeight="1"/>
    <row r="36" spans="4:4" ht="12.75" customHeight="1"/>
    <row r="37" spans="4:4" ht="12.75" customHeight="1">
      <c r="D37" s="51"/>
    </row>
    <row r="38" spans="4:4" ht="12.75" customHeight="1"/>
    <row r="39" spans="4:4" ht="12.75" customHeight="1"/>
    <row r="40" spans="4:4" ht="12.75" customHeight="1"/>
    <row r="41" spans="4:4" ht="12.75" customHeight="1"/>
    <row r="42" spans="4:4" ht="12.75" customHeight="1"/>
    <row r="43" spans="4:4" ht="12.75" customHeight="1"/>
    <row r="44" spans="4:4" ht="12.75" customHeight="1"/>
    <row r="45" spans="4:4" ht="12.75" customHeight="1"/>
    <row r="46" spans="4:4" ht="12.75" customHeight="1"/>
    <row r="47" spans="4:4" ht="12.75" customHeight="1"/>
    <row r="48" spans="4: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mergeCells count="11">
    <mergeCell ref="U1:U2"/>
    <mergeCell ref="O1:O3"/>
    <mergeCell ref="J28:S28"/>
    <mergeCell ref="A29:A31"/>
    <mergeCell ref="A1:B2"/>
    <mergeCell ref="C1:D2"/>
    <mergeCell ref="E1:J1"/>
    <mergeCell ref="L1:M1"/>
    <mergeCell ref="Q1:R1"/>
    <mergeCell ref="T1:T3"/>
    <mergeCell ref="I2:I3"/>
  </mergeCells>
  <conditionalFormatting sqref="C4:D26 C27">
    <cfRule type="cellIs" dxfId="12" priority="1" operator="equal">
      <formula>"A"</formula>
    </cfRule>
    <cfRule type="cellIs" dxfId="11" priority="2" operator="equal">
      <formula>"P"</formula>
    </cfRule>
  </conditionalFormatting>
  <conditionalFormatting sqref="E4:I26">
    <cfRule type="cellIs" dxfId="10" priority="3" operator="equal">
      <formula>0</formula>
    </cfRule>
  </conditionalFormatting>
  <conditionalFormatting sqref="J4:J26">
    <cfRule type="cellIs" dxfId="9" priority="4" operator="lessThan">
      <formula>3</formula>
    </cfRule>
    <cfRule type="cellIs" dxfId="8" priority="5" operator="greaterThanOrEqual">
      <formula>3</formula>
    </cfRule>
  </conditionalFormatting>
  <conditionalFormatting sqref="L4:L26 Q4:Q26">
    <cfRule type="cellIs" dxfId="7" priority="6" operator="equal">
      <formula>0</formula>
    </cfRule>
  </conditionalFormatting>
  <conditionalFormatting sqref="M4:M26 R4:R26">
    <cfRule type="cellIs" dxfId="6" priority="7" operator="lessThan">
      <formula>3</formula>
    </cfRule>
    <cfRule type="cellIs" dxfId="5" priority="8" operator="greaterThanOrEqual">
      <formula>3</formula>
    </cfRule>
  </conditionalFormatting>
  <conditionalFormatting sqref="O4:O26">
    <cfRule type="cellIs" dxfId="4" priority="9" operator="notEqual">
      <formula>0</formula>
    </cfRule>
  </conditionalFormatting>
  <conditionalFormatting sqref="T4:T26">
    <cfRule type="cellIs" dxfId="3" priority="10" operator="greaterThanOrEqual">
      <formula>5.75</formula>
    </cfRule>
    <cfRule type="cellIs" dxfId="2" priority="11" stopIfTrue="1" operator="lessThan">
      <formula>5.75</formula>
    </cfRule>
  </conditionalFormatting>
  <conditionalFormatting sqref="U4:U26">
    <cfRule type="containsText" dxfId="1" priority="12" operator="containsText" text="REPROVADO">
      <formula>NOT(ISERROR(SEARCH(("REPROVADO"),(U4))))</formula>
    </cfRule>
    <cfRule type="containsText" dxfId="0" priority="13" operator="containsText" text="APROVADO">
      <formula>NOT(ISERROR(SEARCH(("APROVADO"),(U4))))</formula>
    </cfRule>
  </conditionalFormatting>
  <dataValidations count="1">
    <dataValidation type="list" allowBlank="1" showErrorMessage="1" sqref="C4:D26 C27" xr:uid="{00000000-0002-0000-0000-000001000000}">
      <formula1>"P,A"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showGridLines="0" workbookViewId="0">
      <selection activeCell="C8" sqref="C8"/>
    </sheetView>
  </sheetViews>
  <sheetFormatPr defaultColWidth="14.44140625" defaultRowHeight="15" customHeight="1"/>
  <cols>
    <col min="1" max="1" width="11.109375" customWidth="1"/>
    <col min="2" max="2" width="140.33203125" customWidth="1"/>
    <col min="3" max="3" width="79.6640625" customWidth="1"/>
    <col min="4" max="4" width="13.6640625" customWidth="1"/>
    <col min="5" max="5" width="37.6640625" customWidth="1"/>
    <col min="6" max="9" width="8.6640625" customWidth="1"/>
  </cols>
  <sheetData>
    <row r="1" spans="1:9" ht="46.5" customHeight="1">
      <c r="A1" s="151" t="s">
        <v>20</v>
      </c>
      <c r="B1" s="143"/>
      <c r="C1" s="144"/>
      <c r="D1" s="55">
        <v>13</v>
      </c>
      <c r="E1" s="56" t="s">
        <v>14</v>
      </c>
    </row>
    <row r="2" spans="1:9" ht="6.75" customHeight="1">
      <c r="A2" s="57"/>
      <c r="B2" s="57"/>
      <c r="C2" s="57"/>
    </row>
    <row r="3" spans="1:9" ht="21">
      <c r="A3" s="58" t="s">
        <v>15</v>
      </c>
      <c r="B3" s="59" t="s">
        <v>16</v>
      </c>
      <c r="C3" s="60" t="s">
        <v>17</v>
      </c>
    </row>
    <row r="4" spans="1:9" ht="45">
      <c r="A4" s="84">
        <v>46237</v>
      </c>
      <c r="B4" s="85" t="s">
        <v>32</v>
      </c>
      <c r="C4" s="86" t="s">
        <v>33</v>
      </c>
    </row>
    <row r="5" spans="1:9" ht="26.25" customHeight="1">
      <c r="A5" s="84">
        <v>46244</v>
      </c>
      <c r="B5" s="87"/>
      <c r="C5" s="88"/>
    </row>
    <row r="6" spans="1:9" ht="26.25" customHeight="1">
      <c r="A6" s="84">
        <v>46251</v>
      </c>
      <c r="B6" s="87"/>
      <c r="C6" s="86"/>
      <c r="D6" s="50"/>
    </row>
    <row r="7" spans="1:9" ht="26.25" customHeight="1">
      <c r="A7" s="84">
        <v>46258</v>
      </c>
      <c r="B7" s="85"/>
      <c r="C7" s="89"/>
      <c r="D7" s="50"/>
      <c r="E7" s="50"/>
      <c r="F7" s="50"/>
      <c r="G7" s="50"/>
      <c r="H7" s="50"/>
      <c r="I7" s="50"/>
    </row>
    <row r="8" spans="1:9" ht="26.25" customHeight="1">
      <c r="A8" s="90">
        <v>46265</v>
      </c>
      <c r="B8" s="87"/>
      <c r="C8" s="89"/>
      <c r="D8" s="61"/>
      <c r="E8" s="50"/>
      <c r="F8" s="50"/>
      <c r="G8" s="50"/>
      <c r="H8" s="50"/>
      <c r="I8" s="50"/>
    </row>
    <row r="9" spans="1:9" ht="26.25" customHeight="1">
      <c r="A9" s="111">
        <v>46272</v>
      </c>
      <c r="B9" s="113" t="s">
        <v>26</v>
      </c>
      <c r="C9" s="112"/>
      <c r="D9" s="50"/>
      <c r="E9" s="51"/>
      <c r="F9" s="62"/>
      <c r="G9" s="63"/>
      <c r="H9" s="50"/>
      <c r="I9" s="50"/>
    </row>
    <row r="10" spans="1:9" ht="26.25" customHeight="1">
      <c r="A10" s="84">
        <v>46279</v>
      </c>
      <c r="B10" s="85"/>
      <c r="C10" s="86"/>
      <c r="D10" s="50"/>
      <c r="E10" s="50"/>
      <c r="F10" s="50"/>
      <c r="G10" s="50"/>
      <c r="H10" s="50"/>
      <c r="I10" s="50"/>
    </row>
    <row r="11" spans="1:9" ht="26.25" customHeight="1">
      <c r="A11" s="90">
        <v>46286</v>
      </c>
      <c r="B11" s="85"/>
      <c r="C11" s="86"/>
      <c r="D11" s="50"/>
      <c r="E11" s="50"/>
      <c r="F11" s="50"/>
      <c r="G11" s="50"/>
      <c r="H11" s="50"/>
      <c r="I11" s="50"/>
    </row>
    <row r="12" spans="1:9" ht="26.25" customHeight="1">
      <c r="A12" s="90">
        <v>46293</v>
      </c>
      <c r="B12" s="85"/>
      <c r="C12" s="86"/>
      <c r="D12" s="50"/>
      <c r="E12" s="50"/>
      <c r="F12" s="50"/>
      <c r="G12" s="50"/>
      <c r="H12" s="50"/>
      <c r="I12" s="50"/>
    </row>
    <row r="13" spans="1:9" ht="26.25" customHeight="1">
      <c r="A13" s="84">
        <v>46300</v>
      </c>
      <c r="B13" s="91"/>
      <c r="C13" s="92"/>
      <c r="E13" s="50"/>
      <c r="F13" s="50"/>
      <c r="G13" s="50"/>
      <c r="H13" s="50"/>
      <c r="I13" s="50"/>
    </row>
    <row r="14" spans="1:9" ht="26.25" customHeight="1">
      <c r="A14" s="111">
        <v>46307</v>
      </c>
      <c r="B14" s="113" t="s">
        <v>27</v>
      </c>
      <c r="C14" s="114"/>
    </row>
    <row r="15" spans="1:9" ht="26.25" customHeight="1">
      <c r="A15" s="84">
        <v>46314</v>
      </c>
      <c r="B15" s="85"/>
      <c r="C15" s="93"/>
    </row>
    <row r="16" spans="1:9" ht="26.25" customHeight="1">
      <c r="A16" s="90">
        <v>46321</v>
      </c>
      <c r="B16" s="94"/>
      <c r="C16" s="95"/>
    </row>
    <row r="17" spans="1:4" ht="26.25" customHeight="1">
      <c r="A17" s="115">
        <v>46328</v>
      </c>
      <c r="B17" s="116" t="s">
        <v>28</v>
      </c>
      <c r="C17" s="117"/>
    </row>
    <row r="18" spans="1:4" ht="26.25" customHeight="1">
      <c r="A18" s="84">
        <v>46335</v>
      </c>
      <c r="B18" s="96"/>
      <c r="C18" s="97"/>
    </row>
    <row r="19" spans="1:4" ht="26.25" customHeight="1">
      <c r="A19" s="90">
        <v>46342</v>
      </c>
      <c r="B19" s="98"/>
      <c r="C19" s="99"/>
      <c r="D19" s="64"/>
    </row>
    <row r="20" spans="1:4" ht="26.25" customHeight="1">
      <c r="A20" s="118">
        <v>46349</v>
      </c>
      <c r="B20" s="119" t="s">
        <v>29</v>
      </c>
      <c r="C20" s="120"/>
      <c r="D20" s="64"/>
    </row>
    <row r="21" spans="1:4" ht="26.25" customHeight="1">
      <c r="A21" s="65">
        <v>46356</v>
      </c>
      <c r="B21" s="66"/>
      <c r="C21" s="67"/>
      <c r="D21" s="64"/>
    </row>
    <row r="22" spans="1:4" ht="26.25" customHeight="1">
      <c r="A22" s="122">
        <v>46363</v>
      </c>
      <c r="B22" s="121" t="s">
        <v>30</v>
      </c>
      <c r="C22" s="123"/>
      <c r="D22" s="64"/>
    </row>
    <row r="23" spans="1:4" ht="26.25" customHeight="1">
      <c r="A23" s="124">
        <v>46370</v>
      </c>
      <c r="B23" s="125" t="s">
        <v>31</v>
      </c>
      <c r="C23" s="126"/>
    </row>
    <row r="24" spans="1:4" ht="12.75" customHeight="1"/>
    <row r="25" spans="1:4" ht="12.75" customHeight="1"/>
    <row r="26" spans="1:4" ht="12.75" customHeight="1"/>
    <row r="27" spans="1:4" ht="12.75" customHeight="1"/>
    <row r="28" spans="1:4" ht="12.75" customHeight="1"/>
    <row r="29" spans="1:4" ht="12.75" customHeight="1">
      <c r="B29" s="68"/>
      <c r="C29" s="69"/>
    </row>
    <row r="30" spans="1:4" ht="12.75" customHeight="1">
      <c r="B30" s="70"/>
      <c r="C30" s="71"/>
    </row>
    <row r="31" spans="1:4" ht="12.75" customHeight="1">
      <c r="B31" s="71"/>
      <c r="C31" s="69"/>
    </row>
    <row r="32" spans="1:4" ht="12.75" customHeight="1">
      <c r="B32" s="71"/>
      <c r="C32" s="64"/>
    </row>
    <row r="33" spans="2:3" ht="12.75" customHeight="1">
      <c r="B33" s="72"/>
      <c r="C33" s="69"/>
    </row>
    <row r="34" spans="2:3" ht="12.75" customHeight="1">
      <c r="B34" s="50"/>
      <c r="C34" s="50"/>
    </row>
    <row r="35" spans="2:3" ht="12.75" customHeight="1">
      <c r="B35" s="50"/>
      <c r="C35" s="50"/>
    </row>
    <row r="36" spans="2:3" ht="12.75" customHeight="1">
      <c r="B36" s="50"/>
      <c r="C36" s="50"/>
    </row>
    <row r="37" spans="2:3" ht="12.75" customHeight="1">
      <c r="B37" s="50"/>
      <c r="C37" s="50"/>
    </row>
    <row r="38" spans="2:3" ht="12.75" customHeight="1">
      <c r="B38" s="50"/>
      <c r="C38" s="50"/>
    </row>
    <row r="39" spans="2:3" ht="12.75" customHeight="1"/>
    <row r="40" spans="2:3" ht="12.75" customHeight="1"/>
    <row r="41" spans="2:3" ht="12.75" customHeight="1"/>
    <row r="42" spans="2:3" ht="12.75" customHeight="1"/>
    <row r="43" spans="2:3" ht="12.75" customHeight="1"/>
    <row r="44" spans="2:3" ht="12.75" customHeight="1"/>
    <row r="45" spans="2:3" ht="12.75" customHeight="1"/>
    <row r="46" spans="2:3" ht="12.75" customHeight="1"/>
    <row r="47" spans="2:3" ht="12.75" customHeight="1"/>
    <row r="48" spans="2: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C1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Presenças e Notas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GeneXus</dc:creator>
  <cp:lastModifiedBy>Davi Maxmillan</cp:lastModifiedBy>
  <dcterms:created xsi:type="dcterms:W3CDTF">2021-09-30T20:12:49Z</dcterms:created>
  <dcterms:modified xsi:type="dcterms:W3CDTF">2026-08-04T00:23:15Z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2024-08-19T14:18:57Z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d92360f7-10fa-4063-8b74-912b5586726e</vt:lpwstr>
  </property>
  <property fmtid="{D5CDD505-2E9C-101B-9397-08002B2CF9AE}" pid="8" name="MSIP_Label_defa4170-0d19-0005-0004-bc88714345d2_ContentBits">
    <vt:lpwstr>0</vt:lpwstr>
  </property>
</Properties>
</file>